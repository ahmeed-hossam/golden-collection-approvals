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roval Bands" sheetId="1" state="visible" r:id="rId3"/>
    <sheet name="FP&amp;A Always Signs" sheetId="2" state="visible" r:id="rId4"/>
    <sheet name="Media Exception" sheetId="3" state="visible" r:id="rId5"/>
    <sheet name="Approval Check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<sst xmlns="http://schemas.openxmlformats.org/spreadsheetml/2006/main" count="75" uniqueCount="67">
  <si>
    <t xml:space="preserve">Golden Collection – Approval Bands (middle option)</t>
  </si>
  <si>
    <t xml:space="preserve">EGP incl. VAT, per request. Blue cells are inputs; change the thresholds in column B and every range label and the Approval Checker update.</t>
  </si>
  <si>
    <t xml:space="preserve">Band</t>
  </si>
  <si>
    <t xml:space="preserve">From (EGP, &gt;)</t>
  </si>
  <si>
    <t xml:space="preserve">To (EGP, ≤)</t>
  </si>
  <si>
    <t xml:space="preserve">Range</t>
  </si>
  <si>
    <t xml:space="preserve">Approval chain</t>
  </si>
  <si>
    <t xml:space="preserve">FP&amp;A role</t>
  </si>
  <si>
    <t xml:space="preserve">FP&amp;A SLA (working days)</t>
  </si>
  <si>
    <t xml:space="preserve">A</t>
  </si>
  <si>
    <t xml:space="preserve">L1 Senior / Lead</t>
  </si>
  <si>
    <t xml:space="preserve">Post-review: checks the approval log weekly and can flag or claw back; not a step in the chain</t>
  </si>
  <si>
    <t xml:space="preserve">Weekly review</t>
  </si>
  <si>
    <t xml:space="preserve">B</t>
  </si>
  <si>
    <t xml:space="preserve">L2 Dept Manager + FP&amp;A (2nd)</t>
  </si>
  <si>
    <t xml:space="preserve">Fast-track second sign-off: budget-line check only</t>
  </si>
  <si>
    <t xml:space="preserve">C</t>
  </si>
  <si>
    <t xml:space="preserve">Full second sign-off: budget plus ROI (Marketing) or cost per contact (Ops)</t>
  </si>
  <si>
    <t xml:space="preserve">D</t>
  </si>
  <si>
    <t xml:space="preserve">L2 + FP&amp;A (2nd) → Strategy Analyst (Mktg or Ops) → CEO</t>
  </si>
  <si>
    <t xml:space="preserve">Full review before Strategy</t>
  </si>
  <si>
    <t xml:space="preserve">Joint payment threshold (EGP)</t>
  </si>
  <si>
    <t xml:space="preserve">Payments above this need Accounting + CEO jointly</t>
  </si>
  <si>
    <t xml:space="preserve">Calibration test: Bands A–B should cover ~70–80% of requests by count, and only a handful per month should reach the CEO. Review thresholds every 6 months for EGP inflation.</t>
  </si>
  <si>
    <t xml:space="preserve">FP&amp;A gives the second sign-off regardless of amount when the request is…</t>
  </si>
  <si>
    <t xml:space="preserve">#</t>
  </si>
  <si>
    <t xml:space="preserve">Trigger</t>
  </si>
  <si>
    <t xml:space="preserve">Why</t>
  </si>
  <si>
    <t xml:space="preserve">Out of budget</t>
  </si>
  <si>
    <t xml:space="preserve">Needs an offset or incremental budget; Strategy and CEO above Band C</t>
  </si>
  <si>
    <t xml:space="preserve">New vendor (not yet set up)</t>
  </si>
  <si>
    <t xml:space="preserve">Vendor terms, tax registration and pricing need checking before first commitment</t>
  </si>
  <si>
    <t xml:space="preserve">Contract &gt; 12 months or auto-renewing</t>
  </si>
  <si>
    <t xml:space="preserve">Locks in cost beyond the current budget year</t>
  </si>
  <si>
    <t xml:space="preserve">Hiring request</t>
  </si>
  <si>
    <t xml:space="preserve">Headcount and salary band affect fixed cost; HR also checks grade and plan</t>
  </si>
  <si>
    <t xml:space="preserve">Discount beyond the approved price-list corridor</t>
  </si>
  <si>
    <t xml:space="preserve">Direct margin impact; FP&amp;A quantifies it in bps</t>
  </si>
  <si>
    <t xml:space="preserve">Media top-up exception</t>
  </si>
  <si>
    <t xml:space="preserve">Item</t>
  </si>
  <si>
    <t xml:space="preserve">Rule</t>
  </si>
  <si>
    <t xml:space="preserve">Scope</t>
  </si>
  <si>
    <t xml:space="preserve">Monthly ad account top-ups (Meta, Google, TikTok) within an FP&amp;A-signed media plan</t>
  </si>
  <si>
    <t xml:space="preserve">Exception</t>
  </si>
  <si>
    <t xml:space="preserve">No FP&amp;A sign-off per top-up up to the Band B ceiling ('Approval Bands'!C6)</t>
  </si>
  <si>
    <t xml:space="preserve">Reason</t>
  </si>
  <si>
    <t xml:space="preserve">FP&amp;A already signed the plan itself, so per-top-up checks add no control</t>
  </si>
  <si>
    <t xml:space="preserve">Still required</t>
  </si>
  <si>
    <t xml:space="preserve">Senior media buyer may shift up to 15% between platforms within the plan total; above that, re-approval</t>
  </si>
  <si>
    <t xml:space="preserve">Processed by</t>
  </si>
  <si>
    <t xml:space="preserve">Accounting tops up accounts only against the approved plan</t>
  </si>
  <si>
    <t xml:space="preserve">Approval Checker – enter a request to see who must approve</t>
  </si>
  <si>
    <t xml:space="preserve">Fill the yellow cells (example values shown). Thresholds come from 'Approval Bands'.</t>
  </si>
  <si>
    <t xml:space="preserve">Request value (EGP incl. VAT)</t>
  </si>
  <si>
    <t xml:space="preserve">Out of budget? (Y/N)</t>
  </si>
  <si>
    <t xml:space="preserve">N</t>
  </si>
  <si>
    <t xml:space="preserve">New vendor? (Y/N)</t>
  </si>
  <si>
    <t xml:space="preserve">Contract &gt; 12 months or auto-renewing? (Y/N)</t>
  </si>
  <si>
    <t xml:space="preserve">Hiring request? (Y/N)</t>
  </si>
  <si>
    <t xml:space="preserve">Discount beyond price list? (Y/N)</t>
  </si>
  <si>
    <t xml:space="preserve">Media top-up within approved plan? (Y/N)</t>
  </si>
  <si>
    <t xml:space="preserve">Result</t>
  </si>
  <si>
    <t xml:space="preserve">Any always-FP&amp;A trigger?</t>
  </si>
  <si>
    <t xml:space="preserve">Media exception applies?</t>
  </si>
  <si>
    <t xml:space="preserve">FP&amp;A second sign-off required?</t>
  </si>
  <si>
    <t xml:space="preserve">Strategy Analyst + CEO required?</t>
  </si>
  <si>
    <t xml:space="preserve">Joint payment (Accounting + CEO)?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</si>
</sst>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6"/>
    <col collapsed="false" customWidth="true" hidden="false" outlineLevel="0" max="4" min="4" style="0" width="22"/>
    <col collapsed="false" customWidth="true" hidden="false" outlineLevel="0" max="5" min="5" style="0" width="44"/>
    <col collapsed="false" customWidth="true" hidden="false" outlineLevel="0" max="6" min="6" style="0" width="52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9.5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26.85" hidden="false" customHeight="false" outlineLevel="0" collapsed="false">
      <c r="A5" s="4" t="s">
        <v>9</v>
      </c>
      <c r="B5" s="5" t="n">
        <v>0</v>
      </c>
      <c r="C5" s="6" t="n">
        <v>25000</v>
      </c>
      <c r="D5" s="7" t="str">
        <f aca="false">"≤ "&amp;TEXT(C5,"#,##0")</f>
        <v>≤ 25,000</v>
      </c>
      <c r="E5" s="7" t="s">
        <v>10</v>
      </c>
      <c r="F5" s="7" t="s">
        <v>11</v>
      </c>
      <c r="G5" s="7" t="s">
        <v>12</v>
      </c>
    </row>
    <row r="6" customFormat="false" ht="15" hidden="false" customHeight="false" outlineLevel="0" collapsed="false">
      <c r="A6" s="4" t="s">
        <v>13</v>
      </c>
      <c r="B6" s="8" t="n">
        <f aca="false">C5</f>
        <v>25000</v>
      </c>
      <c r="C6" s="6" t="n">
        <v>100000</v>
      </c>
      <c r="D6" s="7" t="str">
        <f aca="false">TEXT(B6,"#,##0")&amp;" – "&amp;TEXT(C6,"#,##0")</f>
        <v>25,000 – 100,000</v>
      </c>
      <c r="E6" s="7" t="s">
        <v>14</v>
      </c>
      <c r="F6" s="7" t="s">
        <v>15</v>
      </c>
      <c r="G6" s="9" t="n">
        <v>1</v>
      </c>
    </row>
    <row r="7" customFormat="false" ht="26.85" hidden="false" customHeight="false" outlineLevel="0" collapsed="false">
      <c r="A7" s="4" t="s">
        <v>16</v>
      </c>
      <c r="B7" s="8" t="n">
        <f aca="false">C6</f>
        <v>100000</v>
      </c>
      <c r="C7" s="6" t="n">
        <v>500000</v>
      </c>
      <c r="D7" s="7" t="str">
        <f aca="false">TEXT(B7,"#,##0")&amp;" – "&amp;TEXT(C7,"#,##0")</f>
        <v>100,000 – 500,000</v>
      </c>
      <c r="E7" s="7" t="s">
        <v>14</v>
      </c>
      <c r="F7" s="7" t="s">
        <v>17</v>
      </c>
      <c r="G7" s="9" t="n">
        <v>2</v>
      </c>
    </row>
    <row r="8" customFormat="false" ht="26.85" hidden="false" customHeight="false" outlineLevel="0" collapsed="false">
      <c r="A8" s="4" t="s">
        <v>18</v>
      </c>
      <c r="B8" s="8" t="n">
        <f aca="false">C7</f>
        <v>500000</v>
      </c>
      <c r="C8" s="8"/>
      <c r="D8" s="7" t="str">
        <f aca="false">"&gt; "&amp;TEXT(B8,"#,##0")</f>
        <v>&gt; 500,000</v>
      </c>
      <c r="E8" s="7" t="s">
        <v>19</v>
      </c>
      <c r="F8" s="7" t="s">
        <v>20</v>
      </c>
      <c r="G8" s="9" t="n">
        <v>2</v>
      </c>
    </row>
    <row r="10" customFormat="false" ht="15" hidden="false" customHeight="false" outlineLevel="0" collapsed="false">
      <c r="A10" s="10" t="s">
        <v>21</v>
      </c>
      <c r="C10" s="11" t="n">
        <v>1500000</v>
      </c>
      <c r="E10" s="2" t="s">
        <v>22</v>
      </c>
    </row>
    <row r="12" customFormat="false" ht="15" hidden="false" customHeight="false" outlineLevel="0" collapsed="false">
      <c r="A12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24</v>
      </c>
    </row>
    <row r="3" customFormat="false" ht="15" hidden="false" customHeight="false" outlineLevel="0" collapsed="false">
      <c r="A3" s="3" t="s">
        <v>25</v>
      </c>
      <c r="B3" s="3" t="s">
        <v>26</v>
      </c>
      <c r="C3" s="3" t="s">
        <v>27</v>
      </c>
    </row>
    <row r="4" customFormat="false" ht="15" hidden="false" customHeight="false" outlineLevel="0" collapsed="false">
      <c r="A4" s="7" t="n">
        <v>1</v>
      </c>
      <c r="B4" s="7" t="s">
        <v>28</v>
      </c>
      <c r="C4" s="7" t="s">
        <v>29</v>
      </c>
    </row>
    <row r="5" customFormat="false" ht="26.85" hidden="false" customHeight="false" outlineLevel="0" collapsed="false">
      <c r="A5" s="7" t="n">
        <v>2</v>
      </c>
      <c r="B5" s="7" t="s">
        <v>30</v>
      </c>
      <c r="C5" s="7" t="s">
        <v>31</v>
      </c>
    </row>
    <row r="6" customFormat="false" ht="15" hidden="false" customHeight="false" outlineLevel="0" collapsed="false">
      <c r="A6" s="7" t="n">
        <v>3</v>
      </c>
      <c r="B6" s="7" t="s">
        <v>32</v>
      </c>
      <c r="C6" s="7" t="s">
        <v>33</v>
      </c>
    </row>
    <row r="7" customFormat="false" ht="26.85" hidden="false" customHeight="false" outlineLevel="0" collapsed="false">
      <c r="A7" s="7" t="n">
        <v>4</v>
      </c>
      <c r="B7" s="7" t="s">
        <v>34</v>
      </c>
      <c r="C7" s="7" t="s">
        <v>35</v>
      </c>
    </row>
    <row r="8" customFormat="false" ht="15" hidden="false" customHeight="false" outlineLevel="0" collapsed="false">
      <c r="A8" s="7" t="n">
        <v>5</v>
      </c>
      <c r="B8" s="7" t="s">
        <v>36</v>
      </c>
      <c r="C8" s="7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38</v>
      </c>
    </row>
    <row r="3" customFormat="false" ht="15" hidden="false" customHeight="false" outlineLevel="0" collapsed="false">
      <c r="A3" s="3" t="s">
        <v>39</v>
      </c>
      <c r="B3" s="3" t="s">
        <v>40</v>
      </c>
    </row>
    <row r="4" customFormat="false" ht="15" hidden="false" customHeight="false" outlineLevel="0" collapsed="false">
      <c r="A4" s="4" t="s">
        <v>41</v>
      </c>
      <c r="B4" s="7" t="s">
        <v>42</v>
      </c>
    </row>
    <row r="5" customFormat="false" ht="15" hidden="false" customHeight="false" outlineLevel="0" collapsed="false">
      <c r="A5" s="4" t="s">
        <v>43</v>
      </c>
      <c r="B5" s="7" t="s">
        <v>44</v>
      </c>
    </row>
    <row r="6" customFormat="false" ht="15" hidden="false" customHeight="false" outlineLevel="0" collapsed="false">
      <c r="A6" s="4" t="s">
        <v>45</v>
      </c>
      <c r="B6" s="7" t="s">
        <v>46</v>
      </c>
    </row>
    <row r="7" customFormat="false" ht="26.85" hidden="false" customHeight="false" outlineLevel="0" collapsed="false">
      <c r="A7" s="4" t="s">
        <v>47</v>
      </c>
      <c r="B7" s="7" t="s">
        <v>48</v>
      </c>
    </row>
    <row r="8" customFormat="false" ht="15" hidden="false" customHeight="false" outlineLevel="0" collapsed="false">
      <c r="A8" s="4" t="s">
        <v>49</v>
      </c>
      <c r="B8" s="7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52</v>
      </c>
    </row>
    <row r="4" customFormat="false" ht="15" hidden="false" customHeight="false" outlineLevel="0" collapsed="false">
      <c r="A4" s="10" t="s">
        <v>53</v>
      </c>
      <c r="B4" s="11" t="n">
        <v>180000</v>
      </c>
    </row>
    <row r="5" customFormat="false" ht="15" hidden="false" customHeight="false" outlineLevel="0" collapsed="false">
      <c r="A5" s="10" t="s">
        <v>54</v>
      </c>
      <c r="B5" s="12" t="s">
        <v>55</v>
      </c>
    </row>
    <row r="6" customFormat="false" ht="15" hidden="false" customHeight="false" outlineLevel="0" collapsed="false">
      <c r="A6" s="10" t="s">
        <v>56</v>
      </c>
      <c r="B6" s="12" t="s">
        <v>55</v>
      </c>
    </row>
    <row r="7" customFormat="false" ht="15" hidden="false" customHeight="false" outlineLevel="0" collapsed="false">
      <c r="A7" s="10" t="s">
        <v>57</v>
      </c>
      <c r="B7" s="12" t="s">
        <v>55</v>
      </c>
    </row>
    <row r="8" customFormat="false" ht="15" hidden="false" customHeight="false" outlineLevel="0" collapsed="false">
      <c r="A8" s="10" t="s">
        <v>58</v>
      </c>
      <c r="B8" s="12" t="s">
        <v>55</v>
      </c>
    </row>
    <row r="9" customFormat="false" ht="15" hidden="false" customHeight="false" outlineLevel="0" collapsed="false">
      <c r="A9" s="10" t="s">
        <v>59</v>
      </c>
      <c r="B9" s="12" t="s">
        <v>55</v>
      </c>
    </row>
    <row r="10" customFormat="false" ht="15" hidden="false" customHeight="false" outlineLevel="0" collapsed="false">
      <c r="A10" s="10" t="s">
        <v>60</v>
      </c>
      <c r="B10" s="12" t="s">
        <v>55</v>
      </c>
    </row>
    <row r="12" customFormat="false" ht="17.35" hidden="false" customHeight="false" outlineLevel="0" collapsed="false">
      <c r="A12" s="1" t="s">
        <v>61</v>
      </c>
    </row>
    <row r="13" customFormat="false" ht="15" hidden="false" customHeight="false" outlineLevel="0" collapsed="false">
      <c r="A13" s="10" t="s">
        <v>2</v>
      </c>
      <c r="B13" s="13" t="str">
        <f aca="false">IFERROR(INDEX('Approval Bands'!$A$5:$A$8,MATCH(B4-0.01,'Approval Bands'!$B$5:$B$8,1)),"A")</f>
        <v>C</v>
      </c>
    </row>
    <row r="14" customFormat="false" ht="15" hidden="false" customHeight="false" outlineLevel="0" collapsed="false">
      <c r="A14" s="10" t="s">
        <v>62</v>
      </c>
      <c r="B14" s="13" t="str">
        <f aca="false">IF(OR(B5="Y",B6="Y",B7="Y",B8="Y",B9="Y"),"Yes","No")</f>
        <v>No</v>
      </c>
    </row>
    <row r="15" customFormat="false" ht="15" hidden="false" customHeight="false" outlineLevel="0" collapsed="false">
      <c r="A15" s="10" t="s">
        <v>63</v>
      </c>
      <c r="B15" s="13" t="str">
        <f aca="false">IF(AND(B10="Y",B14="No",B4&lt;='Approval Bands'!$C$6),"Yes","No")</f>
        <v>No</v>
      </c>
    </row>
    <row r="16" customFormat="false" ht="15" hidden="false" customHeight="false" outlineLevel="0" collapsed="false">
      <c r="A16" s="10" t="s">
        <v>64</v>
      </c>
      <c r="B16" s="13" t="str">
        <f aca="false">IF(B15="Yes","No",IF(OR(B13&lt;&gt;"A",B14="Yes"),"Yes","No (weekly post-review)"))</f>
        <v>Yes</v>
      </c>
    </row>
    <row r="17" customFormat="false" ht="15" hidden="false" customHeight="false" outlineLevel="0" collapsed="false">
      <c r="A17" s="10" t="s">
        <v>65</v>
      </c>
      <c r="B17" s="13" t="str">
        <f aca="false">IF(B13="D","Yes",IF(AND(B5="Y",B13="C"),"Yes (out of budget)","No"))</f>
        <v>No</v>
      </c>
    </row>
    <row r="18" customFormat="false" ht="15" hidden="false" customHeight="false" outlineLevel="0" collapsed="false">
      <c r="A18" s="10" t="s">
        <v>6</v>
      </c>
      <c r="B18" s="13" t="str">
        <f aca="false">INDEX('Approval Bands'!$E$5:$E$8,MATCH(B13,'Approval Bands'!$A$5:$A$8,0))&amp;IF(AND(B13="A",B16="Yes")," + FP&amp;A (2nd)","")&amp;IF(B17="Yes (out of budget)"," → Strategy Analyst → CEO","")</f>
        <v>L2 Dept Manager + FP&amp;A (2nd)</v>
      </c>
    </row>
    <row r="19" customFormat="false" ht="15" hidden="false" customHeight="false" outlineLevel="0" collapsed="false">
      <c r="A19" s="10" t="s">
        <v>66</v>
      </c>
      <c r="B19" s="13" t="str">
        <f aca="false">IF(B4&gt;'Approval Bands'!$C$10,"Yes","No")</f>
        <v>No</v>
      </c>
    </row>
  </sheetData>
  <dataValidations count="1">
    <dataValidation allowBlank="false" errorStyle="stop" operator="between" showDropDown="false" showErrorMessage="false" showInputMessage="false" sqref="B5:B1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2026-10-13T07:11:47Z</dcterms:created>
  <dc:creator>openpyxl</dc:creator>
  <dc:description/>
  <dc:language>en-US</dc:language>
  <cp:lastModifiedBy/>
  <dcterms:modified xsi:type="dcterms:W3CDTF">2026-10-13T07:11:47Z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